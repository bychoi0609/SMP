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최보윤\Desktop\"/>
    </mc:Choice>
  </mc:AlternateContent>
  <xr:revisionPtr revIDLastSave="0" documentId="13_ncr:1_{E33C299B-315A-46F5-AD4A-E12965CE7B3C}" xr6:coauthVersionLast="47" xr6:coauthVersionMax="47" xr10:uidLastSave="{00000000-0000-0000-0000-000000000000}"/>
  <bookViews>
    <workbookView minimized="1" xWindow="10011" yWindow="4749" windowWidth="13852" windowHeight="7062" xr2:uid="{7DEC4920-520B-4AD5-853E-0A58C5D0543A}"/>
  </bookViews>
  <sheets>
    <sheet name="빈양식" sheetId="1" r:id="rId1"/>
  </sheets>
  <definedNames>
    <definedName name="_xlnm._FilterDatabase" localSheetId="0" hidden="1">빈양식!$A$2:$P$42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2" i="1" l="1"/>
  <c r="D42" i="1"/>
  <c r="M41" i="1"/>
  <c r="M40" i="1"/>
  <c r="M39" i="1"/>
  <c r="M36" i="1"/>
  <c r="M35" i="1"/>
  <c r="M34" i="1"/>
  <c r="M33" i="1"/>
  <c r="M32" i="1"/>
  <c r="M31" i="1"/>
  <c r="M30" i="1"/>
  <c r="M29" i="1"/>
  <c r="M8" i="1"/>
  <c r="M6" i="1"/>
  <c r="M5" i="1"/>
  <c r="M4" i="1"/>
  <c r="J42" i="1"/>
  <c r="F42" i="1" l="1"/>
  <c r="M7" i="1"/>
  <c r="G42" i="1"/>
  <c r="M9" i="1" l="1"/>
  <c r="M38" i="1"/>
  <c r="M37" i="1"/>
  <c r="L42" i="1"/>
  <c r="M3" i="1"/>
  <c r="M10" i="1" l="1"/>
  <c r="M11" i="1"/>
  <c r="M12" i="1" l="1"/>
  <c r="M13" i="1" l="1"/>
  <c r="M14" i="1" l="1"/>
  <c r="M15" i="1" l="1"/>
  <c r="M16" i="1" l="1"/>
  <c r="M17" i="1" l="1"/>
  <c r="M18" i="1" l="1"/>
  <c r="M19" i="1" l="1"/>
  <c r="M20" i="1" l="1"/>
  <c r="M21" i="1" l="1"/>
  <c r="M22" i="1" l="1"/>
  <c r="M23" i="1" l="1"/>
  <c r="M24" i="1" l="1"/>
  <c r="M25" i="1" l="1"/>
  <c r="M26" i="1" l="1"/>
  <c r="M27" i="1" l="1"/>
  <c r="M28" i="1" l="1"/>
  <c r="M42" i="1" s="1"/>
  <c r="I42" i="1"/>
  <c r="H42" i="1" s="1"/>
</calcChain>
</file>

<file path=xl/sharedStrings.xml><?xml version="1.0" encoding="utf-8"?>
<sst xmlns="http://schemas.openxmlformats.org/spreadsheetml/2006/main" count="69" uniqueCount="69">
  <si>
    <t>차수</t>
    <phoneticPr fontId="2" type="noConversion"/>
  </si>
  <si>
    <t>번호</t>
    <phoneticPr fontId="2" type="noConversion"/>
  </si>
  <si>
    <t>발전소명</t>
    <phoneticPr fontId="2" type="noConversion"/>
  </si>
  <si>
    <t>용량</t>
    <phoneticPr fontId="2" type="noConversion"/>
  </si>
  <si>
    <t>발전량</t>
    <phoneticPr fontId="2" type="noConversion"/>
  </si>
  <si>
    <t>발전시간</t>
    <phoneticPr fontId="2" type="noConversion"/>
  </si>
  <si>
    <t>수평면 일사량</t>
    <phoneticPr fontId="2" type="noConversion"/>
  </si>
  <si>
    <t>SMP단가</t>
    <phoneticPr fontId="2" type="noConversion"/>
  </si>
  <si>
    <t>SMP매출</t>
    <phoneticPr fontId="2" type="noConversion"/>
  </si>
  <si>
    <t>REC수량</t>
    <phoneticPr fontId="2" type="noConversion"/>
  </si>
  <si>
    <t>REC단가</t>
    <phoneticPr fontId="2" type="noConversion"/>
  </si>
  <si>
    <t>REC매출</t>
    <phoneticPr fontId="2" type="noConversion"/>
  </si>
  <si>
    <t>매출총액(A)</t>
    <phoneticPr fontId="2" type="noConversion"/>
  </si>
  <si>
    <t>고려제강_건천이형선</t>
    <phoneticPr fontId="2" type="noConversion"/>
  </si>
  <si>
    <t>고려강선_양산</t>
    <phoneticPr fontId="2" type="noConversion"/>
  </si>
  <si>
    <t>고려강선_포항</t>
    <phoneticPr fontId="2" type="noConversion"/>
  </si>
  <si>
    <t>홍덕산업_포항SC</t>
    <phoneticPr fontId="2" type="noConversion"/>
  </si>
  <si>
    <t>홍덕산업_포항경강선</t>
    <phoneticPr fontId="2" type="noConversion"/>
  </si>
  <si>
    <t>홍덕산업_포항BW</t>
    <phoneticPr fontId="2" type="noConversion"/>
  </si>
  <si>
    <t>홍덕산업_건천SSW</t>
    <phoneticPr fontId="2" type="noConversion"/>
  </si>
  <si>
    <t>홍덕산업_포항SKW</t>
    <phoneticPr fontId="2" type="noConversion"/>
  </si>
  <si>
    <t>홍덕산업 거창SC2</t>
    <phoneticPr fontId="2" type="noConversion"/>
  </si>
  <si>
    <t>홍덕산업_거창SC</t>
    <phoneticPr fontId="2" type="noConversion"/>
  </si>
  <si>
    <t>`</t>
    <phoneticPr fontId="2" type="noConversion"/>
  </si>
  <si>
    <t>2차</t>
    <phoneticPr fontId="2" type="noConversion"/>
  </si>
  <si>
    <t>고려제강_군북</t>
    <phoneticPr fontId="2" type="noConversion"/>
  </si>
  <si>
    <t>고려강선_창원</t>
    <phoneticPr fontId="2" type="noConversion"/>
  </si>
  <si>
    <t>홍덕산업_함안SC</t>
    <phoneticPr fontId="2" type="noConversion"/>
  </si>
  <si>
    <t>홍덕산업_건천SSW2차</t>
    <phoneticPr fontId="2" type="noConversion"/>
  </si>
  <si>
    <t>3차</t>
    <phoneticPr fontId="2" type="noConversion"/>
  </si>
  <si>
    <t>고려강선_포항공장2차</t>
    <phoneticPr fontId="2" type="noConversion"/>
  </si>
  <si>
    <t>전자랜드_김해</t>
    <phoneticPr fontId="2" type="noConversion"/>
  </si>
  <si>
    <t>전자랜드_광주</t>
    <phoneticPr fontId="2" type="noConversion"/>
  </si>
  <si>
    <t>대전KAT</t>
    <phoneticPr fontId="2" type="noConversion"/>
  </si>
  <si>
    <t>4차</t>
    <phoneticPr fontId="2" type="noConversion"/>
  </si>
  <si>
    <t>고려제강_양산SW</t>
    <phoneticPr fontId="2" type="noConversion"/>
  </si>
  <si>
    <t>5차</t>
    <phoneticPr fontId="2" type="noConversion"/>
  </si>
  <si>
    <t>서울청과연구소</t>
    <phoneticPr fontId="2" type="noConversion"/>
  </si>
  <si>
    <t>6차</t>
    <phoneticPr fontId="2" type="noConversion"/>
  </si>
  <si>
    <t>고려제강_양산SW공장대석창고</t>
    <phoneticPr fontId="2" type="noConversion"/>
  </si>
  <si>
    <t>홍덕산업_건천SSW3차</t>
    <phoneticPr fontId="2" type="noConversion"/>
  </si>
  <si>
    <t>홍덕산업_포항SC2차</t>
    <phoneticPr fontId="2" type="noConversion"/>
  </si>
  <si>
    <t>7차</t>
    <phoneticPr fontId="2" type="noConversion"/>
  </si>
  <si>
    <t>고려강선_양산공장2차</t>
    <phoneticPr fontId="2" type="noConversion"/>
  </si>
  <si>
    <t>고려제강_대석리가구임대건물</t>
    <phoneticPr fontId="2" type="noConversion"/>
  </si>
  <si>
    <t>8차</t>
    <phoneticPr fontId="2" type="noConversion"/>
  </si>
  <si>
    <t>전자랜드_광주2차</t>
    <phoneticPr fontId="2" type="noConversion"/>
  </si>
  <si>
    <t>9차</t>
    <phoneticPr fontId="2" type="noConversion"/>
  </si>
  <si>
    <t>고려강선_포항3차(4차 증설포함)</t>
    <phoneticPr fontId="2" type="noConversion"/>
  </si>
  <si>
    <t>고려제강_군북2차</t>
    <phoneticPr fontId="2" type="noConversion"/>
  </si>
  <si>
    <t>고려강선_창원2차(+19차)</t>
    <phoneticPr fontId="2" type="noConversion"/>
  </si>
  <si>
    <t>10차</t>
    <phoneticPr fontId="2" type="noConversion"/>
  </si>
  <si>
    <t>고려제강_건천기숙사</t>
    <phoneticPr fontId="2" type="noConversion"/>
  </si>
  <si>
    <t>고려제강_하이로프2차</t>
    <phoneticPr fontId="2" type="noConversion"/>
  </si>
  <si>
    <t>11차</t>
    <phoneticPr fontId="2" type="noConversion"/>
  </si>
  <si>
    <t>고려제강_양산기숙사</t>
    <phoneticPr fontId="2" type="noConversion"/>
  </si>
  <si>
    <t>대전KAT2차</t>
    <phoneticPr fontId="2" type="noConversion"/>
  </si>
  <si>
    <t>홍덕산업_건천사택</t>
    <phoneticPr fontId="2" type="noConversion"/>
  </si>
  <si>
    <t>12차</t>
    <phoneticPr fontId="2" type="noConversion"/>
  </si>
  <si>
    <t>전자랜드 김해2차</t>
    <phoneticPr fontId="2" type="noConversion"/>
  </si>
  <si>
    <t>홍덕섬유</t>
    <phoneticPr fontId="2" type="noConversion"/>
  </si>
  <si>
    <t>15차</t>
    <phoneticPr fontId="2" type="noConversion"/>
  </si>
  <si>
    <t>홍덕산업_포항SC3차</t>
    <phoneticPr fontId="2" type="noConversion"/>
  </si>
  <si>
    <t>18차</t>
    <phoneticPr fontId="2" type="noConversion"/>
  </si>
  <si>
    <t>고려제강_유산공장</t>
    <phoneticPr fontId="2" type="noConversion"/>
  </si>
  <si>
    <t>20차</t>
    <phoneticPr fontId="2" type="noConversion"/>
  </si>
  <si>
    <t>홍덕산업_건천SSW4차</t>
    <phoneticPr fontId="2" type="noConversion"/>
  </si>
  <si>
    <t>합  계</t>
    <phoneticPr fontId="2" type="noConversion"/>
  </si>
  <si>
    <t>1차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</si>
</sst>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_-* #,##0.00_-;\-* #,##0.00_-;_-* &quot;-&quot;_-;_-@_-"/>
    <numFmt numFmtId="178" formatCode="_-* #,##0.0_-;\-* #,##0.0_-;_-* &quot;-&quot;??_-;_-@_-"/>
  </numFmts>
  <fonts count="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41" fontId="3" fillId="0" borderId="2" xfId="1" applyFont="1" applyBorder="1" applyAlignment="1">
      <alignment horizontal="center" vertical="center"/>
    </xf>
    <xf numFmtId="176" fontId="0" fillId="0" borderId="2" xfId="1" applyNumberFormat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177" fontId="0" fillId="0" borderId="2" xfId="1" applyNumberFormat="1" applyFont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41" fontId="0" fillId="0" borderId="2" xfId="0" applyNumberForma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BD3B-DBB7-46B4-9926-00EA5A2B0394}">
  <dimension ref="A2:U44"/>
  <sheetViews>
    <sheetView tabSelected="1" workbookViewId="0">
      <selection activeCell="A13" sqref="A13:A16"/>
    </sheetView>
  </sheetViews>
  <sheetFormatPr defaultRowHeight="17.600000000000001"/>
  <cols>
    <col min="1" max="1" width="5.35546875" style="1" bestFit="1" customWidth="1"/>
    <col min="2" max="2" width="5.2109375" style="1" bestFit="1" customWidth="1"/>
    <col min="3" max="3" width="29.35546875" bestFit="1" customWidth="1"/>
    <col min="4" max="6" width="10.140625" style="1" customWidth="1"/>
    <col min="7" max="7" width="13.7109375" style="1" customWidth="1"/>
    <col min="8" max="8" width="9.35546875" style="1" customWidth="1"/>
    <col min="9" max="9" width="13" style="1" customWidth="1"/>
    <col min="10" max="10" width="8.640625" style="1" customWidth="1"/>
    <col min="11" max="11" width="10.85546875" style="1" customWidth="1"/>
    <col min="12" max="14" width="14.640625" style="1" customWidth="1"/>
  </cols>
  <sheetData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6" ht="21" customHeight="1">
      <c r="A3" s="3" t="s">
        <v>68</v>
      </c>
      <c r="B3" s="4">
        <v>1</v>
      </c>
      <c r="C3" s="5" t="s">
        <v>13</v>
      </c>
      <c r="D3" s="4">
        <v>1154.2</v>
      </c>
      <c r="E3" s="6">
        <v>131631</v>
      </c>
      <c r="F3" s="7"/>
      <c r="G3" s="8"/>
      <c r="H3" s="9"/>
      <c r="I3" s="8"/>
      <c r="J3" s="8"/>
      <c r="K3" s="8"/>
      <c r="L3" s="8"/>
      <c r="M3" s="8">
        <f t="shared" ref="M3:M41" si="0">I3+L3</f>
        <v>0</v>
      </c>
      <c r="N3" s="10"/>
    </row>
    <row r="4" spans="1:16" ht="21" customHeight="1">
      <c r="A4" s="11"/>
      <c r="B4" s="4">
        <v>2</v>
      </c>
      <c r="C4" s="5" t="s">
        <v>14</v>
      </c>
      <c r="D4" s="4">
        <v>545.78</v>
      </c>
      <c r="E4" s="6">
        <v>50270</v>
      </c>
      <c r="F4" s="7"/>
      <c r="G4" s="8"/>
      <c r="H4" s="9"/>
      <c r="I4" s="8"/>
      <c r="J4" s="8"/>
      <c r="K4" s="8"/>
      <c r="L4" s="8"/>
      <c r="M4" s="8">
        <f t="shared" si="0"/>
        <v>0</v>
      </c>
      <c r="N4" s="10"/>
    </row>
    <row r="5" spans="1:16" ht="21" customHeight="1">
      <c r="A5" s="11"/>
      <c r="B5" s="4">
        <v>3</v>
      </c>
      <c r="C5" s="5" t="s">
        <v>15</v>
      </c>
      <c r="D5" s="4">
        <v>305.62</v>
      </c>
      <c r="E5" s="6">
        <v>33050</v>
      </c>
      <c r="F5" s="7"/>
      <c r="G5" s="8"/>
      <c r="H5" s="9"/>
      <c r="I5" s="8"/>
      <c r="J5" s="8"/>
      <c r="K5" s="8"/>
      <c r="L5" s="8"/>
      <c r="M5" s="8">
        <f t="shared" si="0"/>
        <v>0</v>
      </c>
      <c r="N5" s="10"/>
    </row>
    <row r="6" spans="1:16" ht="21" customHeight="1">
      <c r="A6" s="11"/>
      <c r="B6" s="4">
        <v>4</v>
      </c>
      <c r="C6" s="5" t="s">
        <v>16</v>
      </c>
      <c r="D6" s="4">
        <v>289.10000000000002</v>
      </c>
      <c r="E6" s="6">
        <v>29983</v>
      </c>
      <c r="F6" s="7"/>
      <c r="G6" s="8"/>
      <c r="H6" s="9"/>
      <c r="I6" s="8"/>
      <c r="J6" s="8"/>
      <c r="K6" s="8"/>
      <c r="L6" s="8"/>
      <c r="M6" s="8">
        <f t="shared" si="0"/>
        <v>0</v>
      </c>
      <c r="N6" s="10"/>
    </row>
    <row r="7" spans="1:16" ht="21" customHeight="1">
      <c r="A7" s="11"/>
      <c r="B7" s="4">
        <v>5</v>
      </c>
      <c r="C7" s="5" t="s">
        <v>17</v>
      </c>
      <c r="D7" s="4">
        <v>404.74</v>
      </c>
      <c r="E7" s="6">
        <v>47750</v>
      </c>
      <c r="F7" s="7"/>
      <c r="G7" s="8"/>
      <c r="H7" s="9"/>
      <c r="I7" s="8"/>
      <c r="J7" s="8"/>
      <c r="K7" s="8"/>
      <c r="L7" s="8"/>
      <c r="M7" s="8">
        <f t="shared" si="0"/>
        <v>0</v>
      </c>
      <c r="N7" s="10"/>
    </row>
    <row r="8" spans="1:16" ht="21" customHeight="1">
      <c r="A8" s="11"/>
      <c r="B8" s="4">
        <v>6</v>
      </c>
      <c r="C8" s="5" t="s">
        <v>18</v>
      </c>
      <c r="D8" s="4">
        <v>293.23</v>
      </c>
      <c r="E8" s="6">
        <v>27348</v>
      </c>
      <c r="F8" s="7"/>
      <c r="G8" s="8"/>
      <c r="H8" s="9"/>
      <c r="I8" s="8"/>
      <c r="J8" s="8"/>
      <c r="K8" s="8"/>
      <c r="L8" s="8"/>
      <c r="M8" s="8">
        <f t="shared" si="0"/>
        <v>0</v>
      </c>
      <c r="N8" s="10"/>
    </row>
    <row r="9" spans="1:16" ht="21" customHeight="1">
      <c r="A9" s="11"/>
      <c r="B9" s="4">
        <v>7</v>
      </c>
      <c r="C9" s="5" t="s">
        <v>19</v>
      </c>
      <c r="D9" s="4">
        <v>305.62</v>
      </c>
      <c r="E9" s="6">
        <v>35479</v>
      </c>
      <c r="F9" s="7"/>
      <c r="G9" s="8"/>
      <c r="H9" s="9"/>
      <c r="I9" s="8"/>
      <c r="J9" s="8"/>
      <c r="K9" s="8"/>
      <c r="L9" s="8"/>
      <c r="M9" s="8">
        <f t="shared" si="0"/>
        <v>0</v>
      </c>
      <c r="N9" s="10"/>
    </row>
    <row r="10" spans="1:16" ht="21" customHeight="1">
      <c r="A10" s="11"/>
      <c r="B10" s="4">
        <v>8</v>
      </c>
      <c r="C10" s="5" t="s">
        <v>20</v>
      </c>
      <c r="D10" s="4">
        <v>346.48</v>
      </c>
      <c r="E10" s="6">
        <v>49046</v>
      </c>
      <c r="F10" s="7"/>
      <c r="G10" s="8"/>
      <c r="H10" s="9"/>
      <c r="I10" s="8"/>
      <c r="J10" s="8"/>
      <c r="K10" s="8"/>
      <c r="L10" s="8"/>
      <c r="M10" s="8">
        <f t="shared" si="0"/>
        <v>0</v>
      </c>
      <c r="N10" s="10"/>
    </row>
    <row r="11" spans="1:16" ht="21" customHeight="1">
      <c r="A11" s="11"/>
      <c r="B11" s="4">
        <v>9</v>
      </c>
      <c r="C11" s="5" t="s">
        <v>21</v>
      </c>
      <c r="D11" s="4">
        <v>705.64</v>
      </c>
      <c r="E11" s="6">
        <v>89395</v>
      </c>
      <c r="F11" s="7"/>
      <c r="G11" s="8"/>
      <c r="H11" s="9"/>
      <c r="I11" s="8"/>
      <c r="J11" s="8"/>
      <c r="K11" s="8"/>
      <c r="L11" s="8"/>
      <c r="M11" s="8">
        <f t="shared" si="0"/>
        <v>0</v>
      </c>
      <c r="N11" s="10"/>
    </row>
    <row r="12" spans="1:16" ht="21" customHeight="1">
      <c r="A12" s="12"/>
      <c r="B12" s="4">
        <v>10</v>
      </c>
      <c r="C12" s="5" t="s">
        <v>22</v>
      </c>
      <c r="D12" s="4">
        <v>705.64</v>
      </c>
      <c r="E12" s="6">
        <v>93744</v>
      </c>
      <c r="F12" s="7"/>
      <c r="G12" s="8"/>
      <c r="H12" s="9"/>
      <c r="I12" s="8"/>
      <c r="J12" s="8"/>
      <c r="K12" s="8"/>
      <c r="L12" s="8"/>
      <c r="M12" s="8">
        <f t="shared" si="0"/>
        <v>0</v>
      </c>
      <c r="N12" s="10"/>
      <c r="P12" t="s">
        <v>23</v>
      </c>
    </row>
    <row r="13" spans="1:16" ht="21" customHeight="1">
      <c r="A13" s="3" t="s">
        <v>24</v>
      </c>
      <c r="B13" s="4">
        <v>11</v>
      </c>
      <c r="C13" s="5" t="s">
        <v>25</v>
      </c>
      <c r="D13" s="4">
        <v>996</v>
      </c>
      <c r="E13" s="6">
        <v>82073</v>
      </c>
      <c r="F13" s="7"/>
      <c r="G13" s="8"/>
      <c r="H13" s="9"/>
      <c r="I13" s="8"/>
      <c r="J13" s="8"/>
      <c r="K13" s="8"/>
      <c r="L13" s="8"/>
      <c r="M13" s="8">
        <f t="shared" si="0"/>
        <v>0</v>
      </c>
      <c r="N13" s="10"/>
    </row>
    <row r="14" spans="1:16" ht="21" customHeight="1">
      <c r="A14" s="11"/>
      <c r="B14" s="4">
        <v>12</v>
      </c>
      <c r="C14" s="5" t="s">
        <v>26</v>
      </c>
      <c r="D14" s="4">
        <v>996</v>
      </c>
      <c r="E14" s="6">
        <v>117194</v>
      </c>
      <c r="F14" s="7"/>
      <c r="G14" s="8"/>
      <c r="H14" s="9"/>
      <c r="I14" s="8"/>
      <c r="J14" s="8"/>
      <c r="K14" s="8"/>
      <c r="L14" s="8"/>
      <c r="M14" s="8">
        <f t="shared" si="0"/>
        <v>0</v>
      </c>
      <c r="N14" s="10"/>
    </row>
    <row r="15" spans="1:16" ht="21" customHeight="1">
      <c r="A15" s="11"/>
      <c r="B15" s="4">
        <v>13</v>
      </c>
      <c r="C15" s="5" t="s">
        <v>27</v>
      </c>
      <c r="D15" s="4">
        <v>198</v>
      </c>
      <c r="E15" s="6">
        <v>22819</v>
      </c>
      <c r="F15" s="7"/>
      <c r="G15" s="8"/>
      <c r="H15" s="9"/>
      <c r="I15" s="8"/>
      <c r="J15" s="8"/>
      <c r="K15" s="8"/>
      <c r="L15" s="8"/>
      <c r="M15" s="8">
        <f t="shared" si="0"/>
        <v>0</v>
      </c>
      <c r="N15" s="10"/>
    </row>
    <row r="16" spans="1:16" ht="21" customHeight="1">
      <c r="A16" s="12"/>
      <c r="B16" s="4">
        <v>14</v>
      </c>
      <c r="C16" s="5" t="s">
        <v>28</v>
      </c>
      <c r="D16" s="4">
        <v>96</v>
      </c>
      <c r="E16" s="6">
        <v>11965</v>
      </c>
      <c r="F16" s="7"/>
      <c r="G16" s="8"/>
      <c r="H16" s="9"/>
      <c r="I16" s="8"/>
      <c r="J16" s="8"/>
      <c r="K16" s="8"/>
      <c r="L16" s="8"/>
      <c r="M16" s="8">
        <f t="shared" si="0"/>
        <v>0</v>
      </c>
      <c r="N16" s="10"/>
    </row>
    <row r="17" spans="1:14" ht="21" customHeight="1">
      <c r="A17" s="3" t="s">
        <v>29</v>
      </c>
      <c r="B17" s="4">
        <v>15</v>
      </c>
      <c r="C17" s="5" t="s">
        <v>30</v>
      </c>
      <c r="D17" s="4">
        <v>910</v>
      </c>
      <c r="E17" s="6">
        <v>98194</v>
      </c>
      <c r="F17" s="7"/>
      <c r="G17" s="8"/>
      <c r="H17" s="9"/>
      <c r="I17" s="8"/>
      <c r="J17" s="8"/>
      <c r="K17" s="8"/>
      <c r="L17" s="8"/>
      <c r="M17" s="8">
        <f t="shared" si="0"/>
        <v>0</v>
      </c>
      <c r="N17" s="10"/>
    </row>
    <row r="18" spans="1:14" ht="21" customHeight="1">
      <c r="A18" s="11"/>
      <c r="B18" s="4">
        <v>16</v>
      </c>
      <c r="C18" s="5" t="s">
        <v>31</v>
      </c>
      <c r="D18" s="4">
        <v>99</v>
      </c>
      <c r="E18" s="6">
        <v>12101</v>
      </c>
      <c r="F18" s="7"/>
      <c r="G18" s="8"/>
      <c r="H18" s="9"/>
      <c r="I18" s="8"/>
      <c r="J18" s="8"/>
      <c r="K18" s="8"/>
      <c r="L18" s="8"/>
      <c r="M18" s="8">
        <f t="shared" si="0"/>
        <v>0</v>
      </c>
      <c r="N18" s="10"/>
    </row>
    <row r="19" spans="1:14" ht="21" customHeight="1">
      <c r="A19" s="11"/>
      <c r="B19" s="4">
        <v>17</v>
      </c>
      <c r="C19" s="5" t="s">
        <v>32</v>
      </c>
      <c r="D19" s="4">
        <v>99</v>
      </c>
      <c r="E19" s="6">
        <v>9362</v>
      </c>
      <c r="F19" s="7"/>
      <c r="G19" s="8"/>
      <c r="H19" s="9"/>
      <c r="I19" s="8"/>
      <c r="J19" s="8"/>
      <c r="K19" s="8"/>
      <c r="L19" s="8"/>
      <c r="M19" s="8">
        <f t="shared" si="0"/>
        <v>0</v>
      </c>
      <c r="N19" s="10"/>
    </row>
    <row r="20" spans="1:14" ht="21" customHeight="1">
      <c r="A20" s="12"/>
      <c r="B20" s="4">
        <v>18</v>
      </c>
      <c r="C20" s="5" t="s">
        <v>33</v>
      </c>
      <c r="D20" s="4">
        <v>99</v>
      </c>
      <c r="E20" s="6">
        <v>10605</v>
      </c>
      <c r="F20" s="7"/>
      <c r="G20" s="8"/>
      <c r="H20" s="9"/>
      <c r="I20" s="8"/>
      <c r="J20" s="8"/>
      <c r="K20" s="8"/>
      <c r="L20" s="8"/>
      <c r="M20" s="8">
        <f t="shared" si="0"/>
        <v>0</v>
      </c>
      <c r="N20" s="10"/>
    </row>
    <row r="21" spans="1:14" ht="21" customHeight="1">
      <c r="A21" s="4" t="s">
        <v>34</v>
      </c>
      <c r="B21" s="4">
        <v>19</v>
      </c>
      <c r="C21" s="5" t="s">
        <v>35</v>
      </c>
      <c r="D21" s="4">
        <v>205.92</v>
      </c>
      <c r="E21" s="6">
        <v>24440</v>
      </c>
      <c r="F21" s="7"/>
      <c r="G21" s="8"/>
      <c r="H21" s="9"/>
      <c r="I21" s="8"/>
      <c r="J21" s="8"/>
      <c r="K21" s="8"/>
      <c r="L21" s="8"/>
      <c r="M21" s="8">
        <f t="shared" si="0"/>
        <v>0</v>
      </c>
      <c r="N21" s="10"/>
    </row>
    <row r="22" spans="1:14" ht="21" customHeight="1">
      <c r="A22" s="4" t="s">
        <v>36</v>
      </c>
      <c r="B22" s="4">
        <v>20</v>
      </c>
      <c r="C22" s="5" t="s">
        <v>37</v>
      </c>
      <c r="D22" s="4">
        <v>82.88</v>
      </c>
      <c r="E22" s="6">
        <v>8435</v>
      </c>
      <c r="F22" s="7"/>
      <c r="G22" s="8"/>
      <c r="H22" s="9"/>
      <c r="I22" s="8"/>
      <c r="J22" s="8"/>
      <c r="K22" s="8"/>
      <c r="L22" s="8"/>
      <c r="M22" s="8">
        <f t="shared" si="0"/>
        <v>0</v>
      </c>
      <c r="N22" s="10"/>
    </row>
    <row r="23" spans="1:14" ht="21" customHeight="1">
      <c r="A23" s="3" t="s">
        <v>38</v>
      </c>
      <c r="B23" s="4">
        <v>21</v>
      </c>
      <c r="C23" s="5" t="s">
        <v>39</v>
      </c>
      <c r="D23" s="4">
        <v>153.6</v>
      </c>
      <c r="E23" s="6">
        <v>18540</v>
      </c>
      <c r="F23" s="7"/>
      <c r="G23" s="8"/>
      <c r="H23" s="9"/>
      <c r="I23" s="8"/>
      <c r="J23" s="8"/>
      <c r="K23" s="8"/>
      <c r="L23" s="8"/>
      <c r="M23" s="8">
        <f t="shared" si="0"/>
        <v>0</v>
      </c>
      <c r="N23" s="10"/>
    </row>
    <row r="24" spans="1:14" ht="21" customHeight="1">
      <c r="A24" s="11"/>
      <c r="B24" s="4">
        <v>22</v>
      </c>
      <c r="C24" s="5" t="s">
        <v>40</v>
      </c>
      <c r="D24" s="4">
        <v>514.55999999999995</v>
      </c>
      <c r="E24" s="6">
        <v>66826</v>
      </c>
      <c r="F24" s="7"/>
      <c r="G24" s="8"/>
      <c r="H24" s="9"/>
      <c r="I24" s="8"/>
      <c r="J24" s="8"/>
      <c r="K24" s="8"/>
      <c r="L24" s="8"/>
      <c r="M24" s="8">
        <f t="shared" si="0"/>
        <v>0</v>
      </c>
      <c r="N24" s="10"/>
    </row>
    <row r="25" spans="1:14" ht="21" customHeight="1">
      <c r="A25" s="12"/>
      <c r="B25" s="4">
        <v>23</v>
      </c>
      <c r="C25" s="5" t="s">
        <v>41</v>
      </c>
      <c r="D25" s="4">
        <v>705.6</v>
      </c>
      <c r="E25" s="6">
        <v>84624</v>
      </c>
      <c r="F25" s="7"/>
      <c r="G25" s="8"/>
      <c r="H25" s="9"/>
      <c r="I25" s="8"/>
      <c r="J25" s="8"/>
      <c r="K25" s="8"/>
      <c r="L25" s="8"/>
      <c r="M25" s="8">
        <f t="shared" si="0"/>
        <v>0</v>
      </c>
      <c r="N25" s="10"/>
    </row>
    <row r="26" spans="1:14" ht="21" customHeight="1">
      <c r="A26" s="3" t="s">
        <v>42</v>
      </c>
      <c r="B26" s="4">
        <v>24</v>
      </c>
      <c r="C26" s="5" t="s">
        <v>43</v>
      </c>
      <c r="D26" s="4">
        <v>200.1</v>
      </c>
      <c r="E26" s="6">
        <v>24470</v>
      </c>
      <c r="F26" s="7"/>
      <c r="G26" s="8"/>
      <c r="H26" s="9"/>
      <c r="I26" s="8"/>
      <c r="J26" s="8"/>
      <c r="K26" s="8"/>
      <c r="L26" s="8"/>
      <c r="M26" s="8">
        <f t="shared" si="0"/>
        <v>0</v>
      </c>
      <c r="N26" s="10"/>
    </row>
    <row r="27" spans="1:14" ht="21" customHeight="1">
      <c r="A27" s="12"/>
      <c r="B27" s="4">
        <v>25</v>
      </c>
      <c r="C27" s="5" t="s">
        <v>44</v>
      </c>
      <c r="D27" s="4">
        <v>150.47999999999999</v>
      </c>
      <c r="E27" s="6">
        <v>18597</v>
      </c>
      <c r="F27" s="7"/>
      <c r="G27" s="8"/>
      <c r="H27" s="9"/>
      <c r="I27" s="8"/>
      <c r="J27" s="8"/>
      <c r="K27" s="8"/>
      <c r="L27" s="8"/>
      <c r="M27" s="8">
        <f t="shared" si="0"/>
        <v>0</v>
      </c>
      <c r="N27" s="10"/>
    </row>
    <row r="28" spans="1:14" ht="21" customHeight="1">
      <c r="A28" s="4" t="s">
        <v>45</v>
      </c>
      <c r="B28" s="4">
        <v>26</v>
      </c>
      <c r="C28" s="5" t="s">
        <v>46</v>
      </c>
      <c r="D28" s="4">
        <v>120.19</v>
      </c>
      <c r="E28" s="6">
        <v>12102</v>
      </c>
      <c r="F28" s="7"/>
      <c r="G28" s="8"/>
      <c r="H28" s="9"/>
      <c r="I28" s="8"/>
      <c r="J28" s="8"/>
      <c r="K28" s="8"/>
      <c r="L28" s="8"/>
      <c r="M28" s="8">
        <f t="shared" si="0"/>
        <v>0</v>
      </c>
      <c r="N28" s="10"/>
    </row>
    <row r="29" spans="1:14" ht="21" customHeight="1">
      <c r="A29" s="3" t="s">
        <v>47</v>
      </c>
      <c r="B29" s="4">
        <v>27</v>
      </c>
      <c r="C29" s="5" t="s">
        <v>48</v>
      </c>
      <c r="D29" s="4">
        <v>825.81</v>
      </c>
      <c r="E29" s="6">
        <v>113548</v>
      </c>
      <c r="F29" s="7"/>
      <c r="G29" s="8"/>
      <c r="H29" s="9"/>
      <c r="I29" s="8"/>
      <c r="J29" s="8"/>
      <c r="K29" s="8"/>
      <c r="L29" s="8"/>
      <c r="M29" s="8">
        <f t="shared" si="0"/>
        <v>0</v>
      </c>
      <c r="N29" s="10"/>
    </row>
    <row r="30" spans="1:14" ht="21" customHeight="1">
      <c r="A30" s="11"/>
      <c r="B30" s="4">
        <v>28</v>
      </c>
      <c r="C30" s="5" t="s">
        <v>49</v>
      </c>
      <c r="D30" s="4">
        <v>352.8</v>
      </c>
      <c r="E30" s="6">
        <v>37848</v>
      </c>
      <c r="F30" s="7"/>
      <c r="G30" s="8"/>
      <c r="H30" s="9"/>
      <c r="I30" s="8"/>
      <c r="J30" s="8"/>
      <c r="K30" s="8"/>
      <c r="L30" s="8"/>
      <c r="M30" s="8">
        <f t="shared" si="0"/>
        <v>0</v>
      </c>
      <c r="N30" s="10"/>
    </row>
    <row r="31" spans="1:14" ht="21" customHeight="1">
      <c r="A31" s="12"/>
      <c r="B31" s="4">
        <v>29</v>
      </c>
      <c r="C31" s="5" t="s">
        <v>50</v>
      </c>
      <c r="D31" s="4">
        <v>986.28</v>
      </c>
      <c r="E31" s="6">
        <v>130644</v>
      </c>
      <c r="F31" s="7"/>
      <c r="G31" s="8"/>
      <c r="H31" s="9"/>
      <c r="I31" s="8"/>
      <c r="J31" s="8"/>
      <c r="K31" s="8"/>
      <c r="L31" s="8"/>
      <c r="M31" s="8">
        <f t="shared" si="0"/>
        <v>0</v>
      </c>
      <c r="N31" s="10"/>
    </row>
    <row r="32" spans="1:14" ht="21" customHeight="1">
      <c r="A32" s="3" t="s">
        <v>51</v>
      </c>
      <c r="B32" s="4">
        <v>30</v>
      </c>
      <c r="C32" s="5" t="s">
        <v>52</v>
      </c>
      <c r="D32" s="4">
        <v>84</v>
      </c>
      <c r="E32" s="6">
        <v>13139</v>
      </c>
      <c r="F32" s="7"/>
      <c r="G32" s="8"/>
      <c r="H32" s="9"/>
      <c r="I32" s="8"/>
      <c r="J32" s="8"/>
      <c r="K32" s="8"/>
      <c r="L32" s="8"/>
      <c r="M32" s="8">
        <f t="shared" si="0"/>
        <v>0</v>
      </c>
      <c r="N32" s="10"/>
    </row>
    <row r="33" spans="1:14" ht="21" customHeight="1">
      <c r="A33" s="12"/>
      <c r="B33" s="4">
        <v>31</v>
      </c>
      <c r="C33" s="5" t="s">
        <v>53</v>
      </c>
      <c r="D33" s="4">
        <v>2845.57</v>
      </c>
      <c r="E33" s="6">
        <v>409946</v>
      </c>
      <c r="F33" s="7"/>
      <c r="G33" s="8"/>
      <c r="H33" s="9"/>
      <c r="I33" s="8"/>
      <c r="J33" s="8"/>
      <c r="K33" s="8"/>
      <c r="L33" s="8"/>
      <c r="M33" s="8">
        <f t="shared" si="0"/>
        <v>0</v>
      </c>
      <c r="N33" s="10"/>
    </row>
    <row r="34" spans="1:14" ht="21" customHeight="1">
      <c r="A34" s="3" t="s">
        <v>54</v>
      </c>
      <c r="B34" s="4">
        <v>32</v>
      </c>
      <c r="C34" s="5" t="s">
        <v>55</v>
      </c>
      <c r="D34" s="4">
        <v>25.2</v>
      </c>
      <c r="E34" s="6">
        <v>3378</v>
      </c>
      <c r="F34" s="7"/>
      <c r="G34" s="8"/>
      <c r="H34" s="9"/>
      <c r="I34" s="8"/>
      <c r="J34" s="8"/>
      <c r="K34" s="8"/>
      <c r="L34" s="8"/>
      <c r="M34" s="8">
        <f t="shared" si="0"/>
        <v>0</v>
      </c>
      <c r="N34" s="10"/>
    </row>
    <row r="35" spans="1:14" ht="21" customHeight="1">
      <c r="A35" s="11"/>
      <c r="B35" s="4">
        <v>33</v>
      </c>
      <c r="C35" s="5" t="s">
        <v>56</v>
      </c>
      <c r="D35" s="4">
        <v>229.2</v>
      </c>
      <c r="E35" s="6">
        <v>28487</v>
      </c>
      <c r="F35" s="7"/>
      <c r="G35" s="8"/>
      <c r="H35" s="9"/>
      <c r="I35" s="8"/>
      <c r="J35" s="8"/>
      <c r="K35" s="8"/>
      <c r="L35" s="8"/>
      <c r="M35" s="8">
        <f t="shared" si="0"/>
        <v>0</v>
      </c>
      <c r="N35" s="10"/>
    </row>
    <row r="36" spans="1:14" ht="21" customHeight="1">
      <c r="A36" s="12"/>
      <c r="B36" s="4">
        <v>34</v>
      </c>
      <c r="C36" s="5" t="s">
        <v>57</v>
      </c>
      <c r="D36" s="4">
        <v>37.799999999999997</v>
      </c>
      <c r="E36" s="6">
        <v>5954</v>
      </c>
      <c r="F36" s="7"/>
      <c r="G36" s="8"/>
      <c r="H36" s="9"/>
      <c r="I36" s="8"/>
      <c r="J36" s="8"/>
      <c r="K36" s="8"/>
      <c r="L36" s="8"/>
      <c r="M36" s="8">
        <f t="shared" si="0"/>
        <v>0</v>
      </c>
      <c r="N36" s="10"/>
    </row>
    <row r="37" spans="1:14" ht="21" customHeight="1">
      <c r="A37" s="3" t="s">
        <v>58</v>
      </c>
      <c r="B37" s="4">
        <v>35</v>
      </c>
      <c r="C37" s="5" t="s">
        <v>59</v>
      </c>
      <c r="D37" s="4">
        <v>94.8</v>
      </c>
      <c r="E37" s="6">
        <v>13163</v>
      </c>
      <c r="F37" s="7"/>
      <c r="G37" s="8"/>
      <c r="H37" s="9"/>
      <c r="I37" s="8"/>
      <c r="J37" s="8"/>
      <c r="K37" s="8"/>
      <c r="L37" s="8"/>
      <c r="M37" s="8">
        <f t="shared" si="0"/>
        <v>0</v>
      </c>
      <c r="N37" s="10"/>
    </row>
    <row r="38" spans="1:14" ht="21" customHeight="1">
      <c r="A38" s="12"/>
      <c r="B38" s="4">
        <v>36</v>
      </c>
      <c r="C38" s="5" t="s">
        <v>60</v>
      </c>
      <c r="D38" s="4">
        <v>166.2</v>
      </c>
      <c r="E38" s="6">
        <v>22558</v>
      </c>
      <c r="F38" s="7"/>
      <c r="G38" s="8"/>
      <c r="H38" s="9"/>
      <c r="I38" s="8"/>
      <c r="J38" s="8"/>
      <c r="K38" s="8"/>
      <c r="L38" s="8"/>
      <c r="M38" s="8">
        <f t="shared" si="0"/>
        <v>0</v>
      </c>
      <c r="N38" s="10"/>
    </row>
    <row r="39" spans="1:14" ht="21" customHeight="1">
      <c r="A39" s="4" t="s">
        <v>61</v>
      </c>
      <c r="B39" s="4">
        <v>37</v>
      </c>
      <c r="C39" s="5" t="s">
        <v>62</v>
      </c>
      <c r="D39" s="4">
        <v>442.26</v>
      </c>
      <c r="E39" s="6">
        <v>59182</v>
      </c>
      <c r="F39" s="7"/>
      <c r="G39" s="8"/>
      <c r="H39" s="9"/>
      <c r="I39" s="8"/>
      <c r="J39" s="8"/>
      <c r="K39" s="8"/>
      <c r="L39" s="8"/>
      <c r="M39" s="8">
        <f t="shared" si="0"/>
        <v>0</v>
      </c>
      <c r="N39" s="10"/>
    </row>
    <row r="40" spans="1:14" ht="21" customHeight="1">
      <c r="A40" s="4" t="s">
        <v>63</v>
      </c>
      <c r="B40" s="4">
        <v>38</v>
      </c>
      <c r="C40" s="5" t="s">
        <v>64</v>
      </c>
      <c r="D40" s="4">
        <v>340.9</v>
      </c>
      <c r="E40" s="6">
        <v>38538</v>
      </c>
      <c r="F40" s="7"/>
      <c r="G40" s="8"/>
      <c r="H40" s="9"/>
      <c r="I40" s="8"/>
      <c r="J40" s="8"/>
      <c r="K40" s="8"/>
      <c r="L40" s="8"/>
      <c r="M40" s="8">
        <f t="shared" si="0"/>
        <v>0</v>
      </c>
      <c r="N40" s="10"/>
    </row>
    <row r="41" spans="1:14" ht="21" customHeight="1">
      <c r="A41" s="4" t="s">
        <v>65</v>
      </c>
      <c r="B41" s="4">
        <v>39</v>
      </c>
      <c r="C41" s="5" t="s">
        <v>66</v>
      </c>
      <c r="D41" s="4">
        <v>635</v>
      </c>
      <c r="E41" s="6">
        <v>92151</v>
      </c>
      <c r="F41" s="7"/>
      <c r="G41" s="8"/>
      <c r="H41" s="9"/>
      <c r="I41" s="8"/>
      <c r="J41" s="8"/>
      <c r="K41" s="8"/>
      <c r="L41" s="8"/>
      <c r="M41" s="8">
        <f t="shared" si="0"/>
        <v>0</v>
      </c>
      <c r="N41" s="10"/>
    </row>
    <row r="42" spans="1:14" ht="21" customHeight="1">
      <c r="A42" s="13" t="s">
        <v>67</v>
      </c>
      <c r="B42" s="14"/>
      <c r="C42" s="15"/>
      <c r="D42" s="4">
        <f>SUM(D3:D33,D34:D41)</f>
        <v>17748.2</v>
      </c>
      <c r="E42" s="8">
        <f>SUM(E3:E41)</f>
        <v>2178579</v>
      </c>
      <c r="F42" s="16" t="e">
        <f>E42/D42/#REF!</f>
        <v>#REF!</v>
      </c>
      <c r="G42" s="17" t="e">
        <f>AVERAGE(G3:G41)</f>
        <v>#DIV/0!</v>
      </c>
      <c r="H42" s="18">
        <f>I42/E42</f>
        <v>0</v>
      </c>
      <c r="I42" s="17">
        <f>SUM(I3:I41)</f>
        <v>0</v>
      </c>
      <c r="J42" s="17">
        <f>SUM(J3:J41)</f>
        <v>0</v>
      </c>
      <c r="K42" s="8"/>
      <c r="L42" s="17">
        <f>SUM(L3:L41)</f>
        <v>0</v>
      </c>
      <c r="M42" s="17">
        <f>SUM(M3:M41)</f>
        <v>0</v>
      </c>
      <c r="N42" s="19"/>
    </row>
    <row r="43" spans="1:14">
      <c r="E43" s="20"/>
    </row>
    <row r="44" spans="1:14">
      <c r="M44" s="19"/>
      <c r="N44" s="19"/>
    </row>
  </sheetData>
  <mergeCells count="10">
    <mergeCell ref="A29:A31"/>
    <mergeCell ref="A32:A33"/>
    <mergeCell ref="A34:A36"/>
    <mergeCell ref="A37:A38"/>
    <mergeCell ref="A42:C42"/>
    <mergeCell ref="A3:A12"/>
    <mergeCell ref="A13:A16"/>
    <mergeCell ref="A17:A20"/>
    <mergeCell ref="A23:A25"/>
    <mergeCell ref="A26:A2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빈양식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보윤 최</dc:creator>
  <cp:lastModifiedBy>보윤 최</cp:lastModifiedBy>
  <dcterms:created xsi:type="dcterms:W3CDTF">2026-08-28T04:58:43Z</dcterms:created>
  <dcterms:modified xsi:type="dcterms:W3CDTF">2026-08-28T05:13:15Z</dcterms:modified>
</cp:coreProperties>
</file>